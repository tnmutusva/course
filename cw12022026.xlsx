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21588E24-A186-154B-A647-EA3861CA989E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<sst xmlns="http://schemas.openxmlformats.org/spreadsheetml/2006/main" count="751" uniqueCount="507">
  <si>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</si>
  <si>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</si>
  <si>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</si>
  <si>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</si>
  <si>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</si>
  <si>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</si>
  <si>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</si>
  <si>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</si>
  <si>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</si>
  <si>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</si>
  <si>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</si>
  <si>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</si>
  <si>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</si>
  <si>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</si>
  <si>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</si>
  <si>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</si>
  <si>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</si>
  <si>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</si>
  <si>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</si>
  <si>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</si>
  <si>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</si>
  <si>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</si>
  <si>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</si>
  <si>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</si>
  <si>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</si>
  <si>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</si>
  <si>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</si>
  <si>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</si>
  <si>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</si>
  <si>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</si>
  <si>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</si>
  <si>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</si>
  <si>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</si>
  <si>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</si>
  <si>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</si>
  <si>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</si>
  <si>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</si>
  <si>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</si>
  <si>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</si>
  <si>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</si>
  <si>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</si>
  <si>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</si>
  <si>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</si>
  <si>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</si>
  <si>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</si>
  <si>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</si>
  <si>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</si>
  <si>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</si>
  <si>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</si>
  <si>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</si>
  <si>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</si>
  <si>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</si>
  <si>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</si>
  <si>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</si>
  <si>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</si>
  <si>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</si>
  <si>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</si>
  <si>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</si>
  <si>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</si>
  <si>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</si>
  <si>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</si>
  <si>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</si>
  <si>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</si>
  <si>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</si>
  <si>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</si>
  <si>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</si>
  <si>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</si>
  <si>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</si>
  <si>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</si>
  <si>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</si>
  <si>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</si>
  <si>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</si>
  <si>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</si>
  <si>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</si>
  <si>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</si>
  <si>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</si>
  <si>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</si>
  <si>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</si>
  <si>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</si>
  <si>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</si>
  <si>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</si>
  <si>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</si>
  <si>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</si>
  <si>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</si>
  <si>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</si>
  <si>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</si>
  <si>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</si>
  <si>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</si>
  <si>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</si>
  <si>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</si>
  <si>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</si>
  <si>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</si>
  <si>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</si>
  <si>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</si>
  <si>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</si>
  <si>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</si>
  <si>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</si>
  <si>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</si>
  <si>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</si>
  <si>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</si>
  <si>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</si>
  <si>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</si>
  <si>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</si>
  <si>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</si>
  <si>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</si>
  <si>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</si>
  <si>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</si>
  <si>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</si>
  <si>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</si>
  <si>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</si>
  <si>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</si>
  <si>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</si>
  <si>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</si>
  <si>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</si>
  <si>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</si>
  <si>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</si>
  <si>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</si>
  <si>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</si>
  <si>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</si>
  <si>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</si>
  <si>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</si>
  <si>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</si>
  <si>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</si>
  <si>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</si>
  <si>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</si>
  <si>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</si>
  <si>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</si>
  <si>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</si>
  <si>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</si>
  <si>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</si>
  <si>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</si>
  <si>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</si>
  <si>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</si>
  <si>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</si>
  <si>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</si>
  <si>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</si>
  <si>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</si>
  <si>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</si>
  <si>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</si>
  <si>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</si>
  <si>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</si>
  <si>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</si>
  <si>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</si>
  <si>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</si>
  <si>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</si>
  <si>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</si>
  <si>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</si>
  <si>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</si>
  <si>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</si>
  <si>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</si>
  <si>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</si>
  <si>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</si>
  <si>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</si>
  <si>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</si>
  <si>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</si>
  <si>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</si>
  <si>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</si>
  <si>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</si>
  <si>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</si>
  <si>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</si>
  <si>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</si>
  <si>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</si>
  <si>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</si>
  <si>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</si>
  <si>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</si>
  <si>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</si>
  <si>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</si>
  <si>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</si>
  <si>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</si>
  <si>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</si>
  <si>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</si>
  <si>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</si>
  <si>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</si>
  <si>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</si>
  <si>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</si>
  <si>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</si>
  <si>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</si>
  <si>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</si>
  <si>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</si>
  <si>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</si>
  <si>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</si>
  <si>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</si>
  <si>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</si>
  <si>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</si>
  <si>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</si>
  <si>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</si>
  <si>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</si>
  <si>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</si>
  <si>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</si>
  <si>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</si>
  <si>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</si>
  <si>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</si>
  <si>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</si>
  <si>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</si>
  <si>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</si>
  <si>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</si>
  <si>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</si>
  <si>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</si>
  <si>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</si>
  <si>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</si>
  <si>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</si>
  <si>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</si>
  <si>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</si>
  <si>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</si>
  <si>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</si>
  <si>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</si>
  <si>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</si>
  <si>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</si>
  <si>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</si>
  <si>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</si>
  <si>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</si>
  <si>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</si>
  <si>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</si>
  <si>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</si>
  <si>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</si>
  <si>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</si>
  <si>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</si>
  <si>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</si>
  <si>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</si>
  <si>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</si>
  <si>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</si>
  <si>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</si>
  <si>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</si>
  <si>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</si>
  <si>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</si>
  <si>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</si>
  <si>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</si>
  <si>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</si>
  <si>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</si>
  <si>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</si>
  <si>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</si>
  <si>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</si>
  <si>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</si>
  <si>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</si>
  <si>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</si>
  <si>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</si>
  <si>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</si>
  <si>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</si>
  <si>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</si>
  <si>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</si>
  <si>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</si>
  <si>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</si>
  <si>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</si>
  <si>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</si>
  <si>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</si>
  <si>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</si>
  <si>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</si>
  <si>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</si>
  <si>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</si>
  <si>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</si>
  <si>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</si>
  <si>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</si>
  <si>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</si>
  <si>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</si>
  <si>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</si>
  <si>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</si>
  <si>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</si>
  <si>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</si>
  <si>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</si>
  <si>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</si>
  <si>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</si>
  <si>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</si>
  <si>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</si>
  <si>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</si>
  <si>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</si>
  <si>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</si>
  <si>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</si>
  <si>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</si>
  <si>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</si>
  <si>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</si>
  <si>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</si>
  <si>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</si>
  <si>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</si>
  <si>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</si>
  <si>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</si>
  <si>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</si>
  <si>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</si>
  <si>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</si>
  <si>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</si>
  <si>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</si>
  <si>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</si>
  <si>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</si>
  <si>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</si>
  <si>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</si>
  <si>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</si>
  <si>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</si>
  <si>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</si>
  <si>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</si>
  <si>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</si>
  <si>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</si>
  <si>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</si>
  <si>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</si>
  <si>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</si>
  <si>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</si>
  <si>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</si>
  <si>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</si>
  <si>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</si>
  <si>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</si>
  <si>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</si>
  <si>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</si>
  <si>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</si>
  <si>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</si>
  <si>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</si>
  <si>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</si>
  <si>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</si>
  <si>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</si>
  <si>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</si>
  <si>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</si>
  <si>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</si>
  <si>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</si>
  <si>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</si>
  <si>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</si>
  <si>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</si>
  <si>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</si>
  <si>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</si>
  <si>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</si>
  <si>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</si>
  <si>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</si>
  <si>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</si>
  <si>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</si>
  <si>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</si>
  <si>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</si>
  <si>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</si>
  <si>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</si>
  <si>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</si>
  <si>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</si>
  <si>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</si>
  <si>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</si>
  <si>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</si>
  <si>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</si>
  <si>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</si>
  <si>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</si>
  <si>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</si>
  <si>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</si>
  <si>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</si>
  <si>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</si>
  <si>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</si>
  <si>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</si>
  <si>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</si>
  <si>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</si>
  <si>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</si>
  <si>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</si>
  <si>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</si>
  <si>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</si>
  <si>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</si>
  <si>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</si>
  <si>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</si>
  <si>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</si>
  <si>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</si>
  <si>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</si>
  <si>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</si>
  <si>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</si>
  <si>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</si>
  <si>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</si>
  <si>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</si>
  <si>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</si>
  <si>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</si>
  <si>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</si>
  <si>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</si>
  <si>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</si>
  <si>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</si>
  <si>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</si>
  <si>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</si>
  <si>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</si>
  <si>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</si>
  <si>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</si>
  <si>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</si>
  <si>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</si>
  <si>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</si>
  <si>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</si>
  <si>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</si>
  <si>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</si>
  <si>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</si>
  <si>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</si>
  <si>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</si>
  <si>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</si>
  <si>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</si>
  <si>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</si>
  <si>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</si>
  <si>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</si>
  <si>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</si>
  <si>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</si>
  <si>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</si>
  <si>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</si>
  <si>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</si>
  <si>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</si>
  <si>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</si>
  <si>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</si>
  <si>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</si>
  <si>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</si>
  <si>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</si>
  <si>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</si>
  <si>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</si>
  <si>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</si>
  <si>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</si>
  <si>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</si>
  <si>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</si>
  <si>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</si>
  <si>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</si>
  <si>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</si>
  <si>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</si>
  <si>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</si>
  <si>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</si>
  <si>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</si>
  <si>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</si>
  <si>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</si>
  <si>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</si>
  <si>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</si>
  <si>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</si>
  <si>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</si>
  <si>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</si>
  <si>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</si>
  <si>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</si>
  <si>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</si>
  <si>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</si>
  <si>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</si>
  <si>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</si>
  <si>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</si>
  <si>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</si>
  <si>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</si>
  <si>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</si>
  <si>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</si>
  <si>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</si>
  <si>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</si>
  <si>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</si>
  <si>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</si>
  <si>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</si>
  <si>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</si>
  <si>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</si>
  <si>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</si>
  <si>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</si>
  <si>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</si>
  <si>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</si>
  <si>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</si>
  <si>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</si>
  <si>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</si>
  <si>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</si>
  <si>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</si>
  <si>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</si>
  <si>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</si>
  <si>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</si>
  <si>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</si>
  <si>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</si>
  <si>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</si>
  <si>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</si>
  <si>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</si>
  <si>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</si>
  <si>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</si>
  <si>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</si>
  <si>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</si>
  <si>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</si>
  <si>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</si>
  <si>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</si>
  <si>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</si>
  <si>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</si>
  <si>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</si>
  <si>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</si>
  <si>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</si>
  <si>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</si>
  <si>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</si>
  <si>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</si>
  <si>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</si>
  <si>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</si>
  <si>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</si>
  <si>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</si>
  <si>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</si>
  <si>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</si>
  <si>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</si>
  <si>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</si>
  <si>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</si>
  <si>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</si>
  <si>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Munzvangi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</si>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</sst>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69" zoomScale="136" zoomScaleNormal="136" workbookViewId="0">
      <selection activeCell="K84" sqref="K84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486</v>
      </c>
      <c r="E1" s="17" t="s">
        <v>487</v>
      </c>
      <c r="F1" s="17" t="s">
        <v>488</v>
      </c>
      <c r="G1" s="17" t="s">
        <v>489</v>
      </c>
      <c r="H1" s="17" t="s">
        <v>490</v>
      </c>
      <c r="I1" s="20" t="s">
        <v>491</v>
      </c>
      <c r="J1" s="17" t="s">
        <v>492</v>
      </c>
      <c r="K1" s="17" t="s">
        <v>493</v>
      </c>
      <c r="L1" s="17" t="s">
        <v>4</v>
      </c>
      <c r="M1" s="17" t="s">
        <v>5</v>
      </c>
      <c r="N1" s="17" t="s">
        <v>6</v>
      </c>
      <c r="O1" s="17" t="s">
        <v>485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L2" s="17">
        <v>0.48</v>
      </c>
      <c r="P2" s="22" t="e">
        <f>(((LARGE(D2:G2,1)+LARGE(D2:G2,2)+LARGE(D2:G2,3))*0.2/3+(LARGE(H2:K2,1)+LARGE(H2:K2,2)+LARGE(H2:K2,3))*0.5/3+(LARGE(L2:O2,1)+LARGE(L2:O2,2)+LARGE(L2:O2,3))*0.3/3))</f>
        <v>#NUM!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P3" s="4"/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P4" s="4"/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P5" s="4"/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L6" s="17">
        <v>0.48</v>
      </c>
      <c r="P6" s="4"/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P7" s="4"/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P8" s="4"/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P9" s="4"/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L10" s="17">
        <v>0.48</v>
      </c>
      <c r="P10" s="4"/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P11" s="4"/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P12" s="4"/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P13" s="4"/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P14" s="4"/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L15" s="17">
        <v>0.68</v>
      </c>
      <c r="P15" s="4"/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P16" s="4"/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P17" s="4"/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P18" s="4"/>
    </row>
    <row r="19" spans="1:16">
      <c r="A19" s="12" t="s">
        <v>482</v>
      </c>
      <c r="B19" s="14" t="s">
        <v>483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L19" s="17">
        <v>0</v>
      </c>
      <c r="P19" s="15"/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0.65</v>
      </c>
      <c r="L20" s="17">
        <v>0.48</v>
      </c>
      <c r="P20" s="4"/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P21" s="4"/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P22" s="4"/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P23" s="4"/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P24" s="4"/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L25" s="17">
        <v>0.8</v>
      </c>
      <c r="P25" s="4"/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P26" s="4"/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P27" s="4"/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L28" s="17">
        <v>0.48</v>
      </c>
      <c r="P28" s="4"/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L29" s="17">
        <v>0.8</v>
      </c>
      <c r="P29" s="4"/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P30" s="4"/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P31" s="4"/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L32" s="17">
        <v>0.8</v>
      </c>
      <c r="P32" s="4"/>
    </row>
    <row r="33" spans="1:16">
      <c r="A33" s="5" t="s">
        <v>477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P33" s="4"/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P34" s="4"/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P35" s="4"/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P36" s="4"/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L37" s="17">
        <v>0</v>
      </c>
      <c r="P37" s="4"/>
    </row>
    <row r="38" spans="1:16">
      <c r="A38" s="12" t="s">
        <v>478</v>
      </c>
      <c r="B38" s="14" t="s">
        <v>479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L38" s="17">
        <v>0</v>
      </c>
      <c r="P38" s="15"/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L39" s="17">
        <v>0.8</v>
      </c>
      <c r="P39" s="4"/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P40" s="4"/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P41" s="4"/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P42" s="4"/>
    </row>
    <row r="43" spans="1:16">
      <c r="A43" t="s">
        <v>480</v>
      </c>
      <c r="B43" s="2" t="s">
        <v>481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L43" s="17">
        <v>0</v>
      </c>
      <c r="P43" s="15"/>
    </row>
    <row r="44" spans="1:16">
      <c r="A44" t="s">
        <v>484</v>
      </c>
      <c r="B44" s="2" t="s">
        <v>494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L44" s="17">
        <v>0</v>
      </c>
      <c r="P44" s="15"/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P45" s="4"/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P46" s="4"/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P47" s="4"/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P48" s="4"/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L49" s="17">
        <v>0</v>
      </c>
      <c r="M49" s="17">
        <v>0.72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L50" s="17">
        <v>0.63</v>
      </c>
      <c r="M50" s="17">
        <v>0.64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L52" s="17">
        <v>0.83</v>
      </c>
      <c r="M52" s="17">
        <v>0.97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L53" s="17">
        <v>0.79</v>
      </c>
      <c r="M53" s="17">
        <v>0.9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L54" s="17">
        <v>0.55000000000000004</v>
      </c>
      <c r="M54" s="17">
        <v>0.72</v>
      </c>
      <c r="P54" s="4"/>
    </row>
    <row r="55" spans="1:16">
      <c r="A55" s="9" t="s">
        <v>104</v>
      </c>
      <c r="B55" s="9" t="s">
        <v>476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0.69</v>
      </c>
      <c r="L55" s="17">
        <v>0.83</v>
      </c>
      <c r="M55" s="17">
        <v>0.97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L56" s="17">
        <v>0.92</v>
      </c>
      <c r="M56" s="17">
        <v>0.84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L57" s="17">
        <v>0.37</v>
      </c>
      <c r="M57" s="17">
        <v>0.76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0.82</v>
      </c>
      <c r="L58" s="17">
        <v>0</v>
      </c>
      <c r="M58" s="17">
        <v>0.72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L59" s="17">
        <v>0.92</v>
      </c>
      <c r="M59" s="17">
        <v>0.84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L60" s="17">
        <v>0.83</v>
      </c>
      <c r="M60" s="17">
        <v>0.97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L61" s="17">
        <v>0.55000000000000004</v>
      </c>
      <c r="M61" s="17">
        <v>0.72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L62" s="17">
        <v>0.83</v>
      </c>
      <c r="M62" s="17">
        <v>0.97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L63" s="17">
        <v>0.63</v>
      </c>
      <c r="M63" s="17">
        <v>0.64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L65" s="17">
        <v>0.79</v>
      </c>
      <c r="M65" s="17">
        <v>0.9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L67" s="17">
        <v>0.83</v>
      </c>
      <c r="M67" s="17">
        <v>0.97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L68" s="17">
        <v>0.79</v>
      </c>
      <c r="M68" s="17">
        <v>0.9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L69" s="17">
        <v>0.92</v>
      </c>
      <c r="M69" s="17">
        <v>0.84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L70" s="17">
        <v>0.55000000000000004</v>
      </c>
      <c r="M70" s="17">
        <v>0.72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L71" s="17">
        <v>0.37</v>
      </c>
      <c r="M71" s="17">
        <v>0.76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L72" s="17">
        <v>0.79</v>
      </c>
      <c r="M72" s="17">
        <v>0.9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L73" s="17">
        <v>0.83</v>
      </c>
      <c r="M73" s="17">
        <v>0.97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L74" s="17">
        <v>0</v>
      </c>
      <c r="M74" s="17">
        <v>0.72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L75" s="17">
        <v>0</v>
      </c>
      <c r="M75" s="17">
        <v>0.72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L76" s="17">
        <v>0.55000000000000004</v>
      </c>
      <c r="M76" s="17">
        <v>0.72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L77" s="17">
        <v>0.92</v>
      </c>
      <c r="M77" s="17">
        <v>0.84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L78" s="17">
        <v>0</v>
      </c>
      <c r="M78" s="17">
        <v>0.72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0.49</v>
      </c>
      <c r="L79" s="17">
        <v>0.92</v>
      </c>
      <c r="M79" s="17">
        <v>0.84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L80" s="17">
        <v>0.63</v>
      </c>
      <c r="M80" s="17">
        <v>0.64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L81" s="17">
        <v>0.37</v>
      </c>
      <c r="M81" s="17">
        <v>0.76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L82" s="17">
        <v>0.37</v>
      </c>
      <c r="M82" s="17">
        <v>0.76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0.86</v>
      </c>
      <c r="L83" s="17">
        <v>0.63</v>
      </c>
      <c r="M83" s="17">
        <v>0.64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L84" s="17">
        <v>0.79</v>
      </c>
      <c r="M84" s="17">
        <v>0.9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L85" s="17">
        <v>0.63</v>
      </c>
      <c r="M85" s="17">
        <v>0.64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L86" s="17">
        <v>0.55000000000000004</v>
      </c>
      <c r="M86" s="17">
        <v>0.72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L87" s="17">
        <v>0</v>
      </c>
      <c r="M87" s="17">
        <v>0.76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L88" s="17">
        <v>0.79</v>
      </c>
      <c r="M88" s="17">
        <v>0.9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L89" s="17">
        <v>0</v>
      </c>
      <c r="M89" s="17">
        <v>0.72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L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L91" s="17">
        <v>0.62</v>
      </c>
      <c r="P91" s="4"/>
    </row>
    <row r="92" spans="1:16">
      <c r="A92" t="s">
        <v>474</v>
      </c>
      <c r="B92" s="2" t="s">
        <v>475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L92" s="17">
        <v>0.72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L93" s="17">
        <v>0.62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L96" s="17">
        <v>0.61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L97" s="17">
        <v>0.69</v>
      </c>
      <c r="P97" s="4"/>
    </row>
    <row r="98" spans="1:16">
      <c r="A98" t="s">
        <v>495</v>
      </c>
      <c r="B98" s="2" t="s">
        <v>496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L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L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L101" s="17">
        <v>0.69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L102" s="17">
        <v>0.82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L103" s="17">
        <v>0.69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L104" s="17">
        <v>0.72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L105" s="17">
        <v>0.83</v>
      </c>
      <c r="P105" s="4"/>
    </row>
    <row r="106" spans="1:16">
      <c r="A106" t="s">
        <v>470</v>
      </c>
      <c r="B106" s="2" t="s">
        <v>472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L107" s="17">
        <v>0.69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L108" s="17">
        <v>0.62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L109" s="17">
        <v>0.82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L110" s="17">
        <v>0.72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L112" s="17">
        <v>0.72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L113" s="17">
        <v>0.82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L114" s="17">
        <v>0.83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L115" s="17">
        <v>0.61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L116" s="17">
        <v>0.62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L117" s="17">
        <v>0.72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P119" s="4"/>
    </row>
    <row r="120" spans="1:16">
      <c r="A120" t="s">
        <v>471</v>
      </c>
      <c r="B120" s="2" t="s">
        <v>473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L120" s="17">
        <v>0.72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L121" s="17">
        <v>0.72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L122" s="17">
        <v>0.83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L123" s="17">
        <v>0.62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L124" s="17">
        <v>0.83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L125" s="17">
        <v>0.69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L128" s="17">
        <v>0.83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L129" s="17">
        <v>0.61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L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L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L134" s="17">
        <v>0.96</v>
      </c>
      <c r="M134" s="17">
        <v>0.84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L137" s="17">
        <v>0</v>
      </c>
      <c r="M137" s="17">
        <v>0.56999999999999995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L138" s="17">
        <v>0.63</v>
      </c>
      <c r="M138" s="17">
        <v>0.64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L140" s="17">
        <v>0.61</v>
      </c>
      <c r="M140" s="17">
        <v>0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L143" s="17">
        <v>0</v>
      </c>
      <c r="M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L144" s="17">
        <v>0.83</v>
      </c>
      <c r="M144" s="17">
        <v>0.88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L145" s="17">
        <v>0.51</v>
      </c>
      <c r="M145" s="17">
        <v>0.76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L146" s="17">
        <v>0.63</v>
      </c>
      <c r="M146" s="17">
        <v>0.64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L148" s="17">
        <v>0.51</v>
      </c>
      <c r="M148" s="17">
        <v>0.76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L149" s="17">
        <v>0.61</v>
      </c>
      <c r="M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L150" s="17">
        <v>0</v>
      </c>
      <c r="M150" s="17">
        <v>0.28000000000000003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L151" s="17">
        <v>0.8</v>
      </c>
      <c r="M151" s="17">
        <v>0.64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L152" s="17">
        <v>0.83</v>
      </c>
      <c r="M152" s="17">
        <v>0.88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L153" s="17">
        <v>0.63</v>
      </c>
      <c r="M153" s="17">
        <v>0.64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L154" s="17">
        <v>0.61</v>
      </c>
      <c r="M154" s="17">
        <v>0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L155" s="17">
        <v>0.96</v>
      </c>
      <c r="M155" s="17">
        <v>0.84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L156" s="17">
        <v>0.8</v>
      </c>
      <c r="M156" s="17">
        <v>0.64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L157" s="17">
        <v>0.61</v>
      </c>
      <c r="M157" s="17">
        <v>0.83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L158" s="17">
        <v>0.61</v>
      </c>
      <c r="M158" s="17">
        <v>0.83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L159" s="17">
        <v>0.83</v>
      </c>
      <c r="M159" s="17">
        <v>0.88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L160" s="17">
        <v>0.61</v>
      </c>
      <c r="M160" s="17">
        <v>0.64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L163" s="17">
        <v>0.96</v>
      </c>
      <c r="M163" s="17">
        <v>0.84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L164" s="17">
        <v>0.96</v>
      </c>
      <c r="M164" s="17">
        <v>0.84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L165" s="17">
        <v>0.51</v>
      </c>
      <c r="M165" s="17">
        <v>0.76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L166" s="17">
        <v>0.83</v>
      </c>
      <c r="M166" s="17">
        <v>0.88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L169" s="17">
        <v>0</v>
      </c>
      <c r="M169" s="17">
        <v>0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L170" s="17">
        <v>0.8</v>
      </c>
      <c r="M170" s="17">
        <v>0.64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L171" s="17">
        <v>0.61</v>
      </c>
      <c r="M171" s="17">
        <v>0.83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L172" s="17">
        <v>0.63</v>
      </c>
      <c r="M172" s="17">
        <v>0.64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L173" s="17">
        <v>0.61</v>
      </c>
      <c r="M173" s="17">
        <v>0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L174" s="17">
        <v>0.51</v>
      </c>
      <c r="M174" s="17">
        <v>0.6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L175" s="17">
        <v>0.54</v>
      </c>
      <c r="M175" s="17">
        <v>0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L176" s="17">
        <v>0.83</v>
      </c>
      <c r="M176" s="17">
        <v>0.88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L177" s="17">
        <v>0.48</v>
      </c>
      <c r="M177" s="17">
        <v>0.76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L178" s="17">
        <v>0</v>
      </c>
      <c r="M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L180" s="17">
        <v>0.63</v>
      </c>
      <c r="M180" s="17">
        <v>0.64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L182" s="17">
        <v>0.8</v>
      </c>
      <c r="M182" s="17">
        <v>0.64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L183" s="17">
        <v>0.51</v>
      </c>
      <c r="M183" s="17">
        <v>0.76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L185" s="17">
        <v>0.83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L186" s="17">
        <v>0.51</v>
      </c>
      <c r="P186" s="4"/>
    </row>
    <row r="187" spans="1:16">
      <c r="A187" t="s">
        <v>501</v>
      </c>
      <c r="B187" s="2" t="s">
        <v>502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P187" s="15"/>
    </row>
    <row r="188" spans="1:16">
      <c r="A188" t="s">
        <v>505</v>
      </c>
      <c r="B188" s="2" t="s">
        <v>506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L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L190" s="17">
        <v>0.83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L191" s="17">
        <v>0.8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0.42</v>
      </c>
      <c r="I192" s="20">
        <v>0.36</v>
      </c>
      <c r="J192" s="17">
        <v>0.27</v>
      </c>
      <c r="L192" s="17">
        <v>0.79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L193" s="17">
        <v>0.65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L194" s="17">
        <v>0.83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L196" s="17">
        <v>0.38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L197" s="17">
        <v>0.83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L198" s="17">
        <v>0.65</v>
      </c>
      <c r="P198" s="4"/>
    </row>
    <row r="199" spans="1:16">
      <c r="A199" t="s">
        <v>499</v>
      </c>
      <c r="B199" s="2" t="s">
        <v>500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L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L200" s="17">
        <v>0.38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L201" s="17">
        <v>0.51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L202" s="17">
        <v>0.38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L203" s="17">
        <v>0.8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L205" s="17">
        <v>0.38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L206" s="17">
        <v>0.65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L208" s="17">
        <v>0.51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L209" s="17">
        <v>0.51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L210" s="17">
        <v>0.83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L211" s="17">
        <v>0.51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L212" s="17">
        <v>0.8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L213" s="17">
        <v>0.8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L214" s="17">
        <v>0.83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L215" s="17">
        <v>0.65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L216" s="17">
        <v>0.83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L217" s="17">
        <v>0.65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L219" s="17">
        <v>0.8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L220" s="17">
        <v>0.83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P221" s="4"/>
    </row>
    <row r="222" spans="1:16">
      <c r="A222" t="s">
        <v>503</v>
      </c>
      <c r="B222" s="2" t="s">
        <v>504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0.56999999999999995</v>
      </c>
      <c r="L223" s="17">
        <v>0.52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L229" s="17">
        <v>0.57999999999999996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L230" s="17">
        <v>0.54</v>
      </c>
      <c r="P230" s="16"/>
    </row>
    <row r="231" spans="1:16">
      <c r="A231" t="s">
        <v>497</v>
      </c>
      <c r="B231" s="2" t="s">
        <v>498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L231" s="17">
        <v>0.57999999999999996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L232" s="17">
        <v>0.69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L233" s="17">
        <v>0.57999999999999996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L234" s="17">
        <v>0.85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L235" s="17">
        <v>0.54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L236" s="17">
        <v>0.72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L237" s="17">
        <v>0.72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L238" s="17">
        <v>0.69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L239" s="17">
        <v>0.72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L240" s="17">
        <v>0.54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L241" s="17">
        <v>0.69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L242" s="17">
        <v>0.54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L243" s="17">
        <v>0.85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L244" s="17">
        <v>0.69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L245" s="17">
        <v>0.72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L246" s="17">
        <v>0.57999999999999996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2026-05-09T10:19:51Z</dcterms:modified>
</cp:coreProperties>
</file>